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Domovski\Desktop\Новая папка\Промежуточное Демо\Сессия 1\"/>
    </mc:Choice>
  </mc:AlternateContent>
  <bookViews>
    <workbookView xWindow="0" yWindow="0" windowWidth="28800" windowHeight="13590"/>
  </bookViews>
  <sheets>
    <sheet name="Sheet1" sheetId="1" r:id="rId1"/>
    <sheet name="Лист1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2" i="1"/>
</calcChain>
</file>

<file path=xl/sharedStrings.xml><?xml version="1.0" encoding="utf-8"?>
<sst xmlns="http://schemas.openxmlformats.org/spreadsheetml/2006/main" count="256" uniqueCount="95">
  <si>
    <t>Игнатов</t>
  </si>
  <si>
    <t>Калашников</t>
  </si>
  <si>
    <t>Ефимова</t>
  </si>
  <si>
    <t>Орлова</t>
  </si>
  <si>
    <t>Беляева</t>
  </si>
  <si>
    <t>Волков</t>
  </si>
  <si>
    <t>Попова</t>
  </si>
  <si>
    <t>Медведев</t>
  </si>
  <si>
    <t>Суворова</t>
  </si>
  <si>
    <t>Кузьмина</t>
  </si>
  <si>
    <t>Ершов</t>
  </si>
  <si>
    <t>Большаков</t>
  </si>
  <si>
    <t>Блохин</t>
  </si>
  <si>
    <t>Андреев</t>
  </si>
  <si>
    <t>Блинов</t>
  </si>
  <si>
    <t>Абрамов</t>
  </si>
  <si>
    <t>Киселёв</t>
  </si>
  <si>
    <t>Некрасов</t>
  </si>
  <si>
    <t>Лазарев</t>
  </si>
  <si>
    <t>Морозов</t>
  </si>
  <si>
    <t>Андреева</t>
  </si>
  <si>
    <t>Клиент</t>
  </si>
  <si>
    <t>Услуга</t>
  </si>
  <si>
    <t>Начало оказания услуги</t>
  </si>
  <si>
    <t>Ефремов</t>
  </si>
  <si>
    <t>Степанова</t>
  </si>
  <si>
    <t>Баранова</t>
  </si>
  <si>
    <t>Турова</t>
  </si>
  <si>
    <t>Корнилова</t>
  </si>
  <si>
    <t>Колобова</t>
  </si>
  <si>
    <t>Дмитриева</t>
  </si>
  <si>
    <t>Воронова</t>
  </si>
  <si>
    <t>Гущина</t>
  </si>
  <si>
    <t>Костина</t>
  </si>
  <si>
    <t>Федотова</t>
  </si>
  <si>
    <t>Урок в группе немецкого языка для школьников</t>
  </si>
  <si>
    <t>Бобылёв</t>
  </si>
  <si>
    <t>Киноклуб португальского языка для студентов</t>
  </si>
  <si>
    <t>Зуев</t>
  </si>
  <si>
    <t>Индивидуальный урок испанского языка с преподавателем-носителем языка</t>
  </si>
  <si>
    <t>Киноклуб итальянского языка для студентов</t>
  </si>
  <si>
    <t>Индивидуальный урок немецкого языка с русскоязычным преподавателем</t>
  </si>
  <si>
    <t>Голубев</t>
  </si>
  <si>
    <t>Занятие с русскоязычным репетитором английского языка</t>
  </si>
  <si>
    <t>Урок в группе французского языка для школьников</t>
  </si>
  <si>
    <t>Калинин</t>
  </si>
  <si>
    <t>Киноклуб итальянского языка для детей</t>
  </si>
  <si>
    <t>Интенсивный онлайн-курс немецкого языка для компаний по Skype</t>
  </si>
  <si>
    <t>Агафонов</t>
  </si>
  <si>
    <t>Киноклуб французского языка для взрослых</t>
  </si>
  <si>
    <t>Киноклуб немецкого языка для детей</t>
  </si>
  <si>
    <t>Урок в группе итальянского языка для взрослых</t>
  </si>
  <si>
    <t>Киноклуб немецкого языка для взрослых</t>
  </si>
  <si>
    <t>Горбачёв</t>
  </si>
  <si>
    <t>Киноклуб китайского языка для детей</t>
  </si>
  <si>
    <t>Урок в группе японского языка для школьников</t>
  </si>
  <si>
    <t>Бобров</t>
  </si>
  <si>
    <t>Интенсивный курс с преподавателем-носителем немецкого языка для компаний</t>
  </si>
  <si>
    <t>Подготовка к экзамену TOEFL</t>
  </si>
  <si>
    <t>Егорова</t>
  </si>
  <si>
    <t>Александров</t>
  </si>
  <si>
    <t>Интенсивный курс с преподавателем-носителем английского языка для компаний</t>
  </si>
  <si>
    <t>Казаков</t>
  </si>
  <si>
    <t>Занятие с репетитором-носителем немецкого языка</t>
  </si>
  <si>
    <t>Урок в группе английского языка для взрослых</t>
  </si>
  <si>
    <t>Евсеев</t>
  </si>
  <si>
    <t>Киноклуб португальского языка для детей</t>
  </si>
  <si>
    <t>Занятие с репетитором-носителем французского языка</t>
  </si>
  <si>
    <t>Урок в группе английского языка для школьников</t>
  </si>
  <si>
    <t>Урок в группе китайского языка для взрослых</t>
  </si>
  <si>
    <t>Урок в группе китайского языка для школьников</t>
  </si>
  <si>
    <t>Урок в группе испанского языка для взрослых</t>
  </si>
  <si>
    <t>Комиссарова</t>
  </si>
  <si>
    <t>Индивидуальный онлайн-урок немецкого языка по Skype</t>
  </si>
  <si>
    <t>Индивидуальный урок итальянского языка с русскоязычным преподавателем</t>
  </si>
  <si>
    <t>Васильев</t>
  </si>
  <si>
    <t>Индивидуальный урок французского языка с преподавателем-носителем языка</t>
  </si>
  <si>
    <t>Куликова</t>
  </si>
  <si>
    <t>Интенсивный курс с преподавателем-носителем португальского языка для компаний</t>
  </si>
  <si>
    <t>Урок в группе китайского языка для студентов</t>
  </si>
  <si>
    <t>Подготовка к экзамену ACT</t>
  </si>
  <si>
    <t>Интенсивный онлайн-курс португальского языка для компаний по Skype</t>
  </si>
  <si>
    <t>Интенсивный курс итальянского языка с русскоязычным преподавателем для компаний</t>
  </si>
  <si>
    <t>Подготовка к экзамену IELTS Speaking Club</t>
  </si>
  <si>
    <t>Киноклуб китайского языка для студентов</t>
  </si>
  <si>
    <t>Интенсивный онлайн-курс китайского языка для компаний по Skype</t>
  </si>
  <si>
    <t>Селиверстов</t>
  </si>
  <si>
    <t>Киноклуб английского языка для студентов</t>
  </si>
  <si>
    <t>Занятие с русскоязычным репетитором японского языка</t>
  </si>
  <si>
    <t>Индивидуальный урок английского языка с преподавателем-носителем языка</t>
  </si>
  <si>
    <t>Фамилия</t>
  </si>
  <si>
    <t>Журавлёв</t>
  </si>
  <si>
    <t>Колобов</t>
  </si>
  <si>
    <t>Мамонтова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</si>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</sst>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 wrapText="1"/>
    </xf>
    <xf numFmtId="22" fontId="0" fillId="0" borderId="0" xfId="0" applyNumberFormat="1" applyAlignment="1">
      <alignment vertical="center" wrapText="1"/>
    </xf>
    <xf numFmtId="0" fontId="1" fillId="0" borderId="0" xfId="0" applyFont="1"/>
    <xf numFmtId="1" fontId="0" fillId="0" borderId="0" xfId="0" applyNumberFormat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1"/>
  <sheetViews>
    <sheetView tabSelected="1" workbookViewId="0">
      <selection activeCell="E86" sqref="E86"/>
    </sheetView>
  </sheetViews>
  <sheetFormatPr defaultRowHeight="12.75" x14ac:dyDescent="0.2"/>
  <cols>
    <col min="1" max="1" width="73.42578125" customWidth="1"/>
    <col min="2" max="2" width="24.42578125" bestFit="1" customWidth="1"/>
    <col min="3" max="3" width="3" bestFit="1" customWidth="1"/>
    <col min="4" max="4" width="18.7109375" customWidth="1"/>
  </cols>
  <sheetData>
    <row r="1" spans="1:4" s="3" customFormat="1" x14ac:dyDescent="0.2">
      <c r="A1" s="3" t="s">
        <v>22</v>
      </c>
      <c r="B1" s="3" t="s">
        <v>23</v>
      </c>
      <c r="C1" s="3" t="s">
        <v>94</v>
      </c>
      <c r="D1" s="3" t="s">
        <v>21</v>
      </c>
    </row>
    <row r="2" spans="1:4" x14ac:dyDescent="0.2">
      <c r="A2" s="1" t="s">
        <v>44</v>
      </c>
      <c r="B2" s="2">
        <v>43785.472222222219</v>
      </c>
      <c r="C2" s="4">
        <f>VLOOKUP(D2,Лист1!$A$2:$B$51,2,0)</f>
        <v>49</v>
      </c>
      <c r="D2" s="1" t="s">
        <v>8</v>
      </c>
    </row>
    <row r="3" spans="1:4" x14ac:dyDescent="0.2">
      <c r="A3" s="1" t="s">
        <v>73</v>
      </c>
      <c r="B3" s="2">
        <v>43476.756944444445</v>
      </c>
      <c r="C3" s="4">
        <f>VLOOKUP(D3,Лист1!$A$2:$B$51,2,0)</f>
        <v>37</v>
      </c>
      <c r="D3" s="1" t="s">
        <v>29</v>
      </c>
    </row>
    <row r="4" spans="1:4" x14ac:dyDescent="0.2">
      <c r="A4" s="1" t="s">
        <v>40</v>
      </c>
      <c r="B4" s="2">
        <v>43800.611111111109</v>
      </c>
      <c r="C4" s="4">
        <f>VLOOKUP(D4,Лист1!$A$2:$B$51,2,0)</f>
        <v>37</v>
      </c>
      <c r="D4" s="1" t="s">
        <v>29</v>
      </c>
    </row>
    <row r="5" spans="1:4" x14ac:dyDescent="0.2">
      <c r="A5" s="1" t="s">
        <v>81</v>
      </c>
      <c r="B5" s="2">
        <v>43507.5625</v>
      </c>
      <c r="C5" s="4">
        <f>VLOOKUP(D5,Лист1!$A$2:$B$51,2,0)</f>
        <v>37</v>
      </c>
      <c r="D5" s="1" t="s">
        <v>29</v>
      </c>
    </row>
    <row r="6" spans="1:4" x14ac:dyDescent="0.2">
      <c r="A6" s="1" t="s">
        <v>69</v>
      </c>
      <c r="B6" s="2">
        <v>43718.763888888891</v>
      </c>
      <c r="C6" s="4">
        <f>VLOOKUP(D6,Лист1!$A$2:$B$51,2,0)</f>
        <v>20</v>
      </c>
      <c r="D6" s="1" t="s">
        <v>86</v>
      </c>
    </row>
    <row r="7" spans="1:4" x14ac:dyDescent="0.2">
      <c r="A7" s="1" t="s">
        <v>79</v>
      </c>
      <c r="B7" s="2">
        <v>43508.819444444445</v>
      </c>
      <c r="C7" s="4">
        <f>VLOOKUP(D7,Лист1!$A$2:$B$51,2,0)</f>
        <v>48</v>
      </c>
      <c r="D7" s="1" t="s">
        <v>77</v>
      </c>
    </row>
    <row r="8" spans="1:4" x14ac:dyDescent="0.2">
      <c r="A8" s="1" t="s">
        <v>67</v>
      </c>
      <c r="B8" s="2">
        <v>43559.381944444445</v>
      </c>
      <c r="C8" s="4">
        <f>VLOOKUP(D8,Лист1!$A$2:$B$51,2,0)</f>
        <v>24</v>
      </c>
      <c r="D8" s="1" t="s">
        <v>36</v>
      </c>
    </row>
    <row r="9" spans="1:4" x14ac:dyDescent="0.2">
      <c r="A9" s="1" t="s">
        <v>71</v>
      </c>
      <c r="B9" s="2">
        <v>43600.388888888891</v>
      </c>
      <c r="C9" s="4">
        <f>VLOOKUP(D9,Лист1!$A$2:$B$51,2,0)</f>
        <v>21</v>
      </c>
      <c r="D9" s="1" t="s">
        <v>16</v>
      </c>
    </row>
    <row r="10" spans="1:4" x14ac:dyDescent="0.2">
      <c r="A10" s="1" t="s">
        <v>35</v>
      </c>
      <c r="B10" s="2">
        <v>43481.597222222219</v>
      </c>
      <c r="C10" s="4">
        <f>VLOOKUP(D10,Лист1!$A$2:$B$51,2,0)</f>
        <v>16</v>
      </c>
      <c r="D10" s="1" t="s">
        <v>72</v>
      </c>
    </row>
    <row r="11" spans="1:4" x14ac:dyDescent="0.2">
      <c r="A11" s="1" t="s">
        <v>64</v>
      </c>
      <c r="B11" s="2">
        <v>43481.375</v>
      </c>
      <c r="C11" s="4">
        <f>VLOOKUP(D11,Лист1!$A$2:$B$51,2,0)</f>
        <v>30</v>
      </c>
      <c r="D11" s="1" t="s">
        <v>56</v>
      </c>
    </row>
    <row r="12" spans="1:4" x14ac:dyDescent="0.2">
      <c r="A12" s="1" t="s">
        <v>35</v>
      </c>
      <c r="B12" s="2">
        <v>43539.451388888891</v>
      </c>
      <c r="C12" s="4">
        <f>VLOOKUP(D12,Лист1!$A$2:$B$51,2,0)</f>
        <v>3</v>
      </c>
      <c r="D12" s="1" t="s">
        <v>62</v>
      </c>
    </row>
    <row r="13" spans="1:4" x14ac:dyDescent="0.2">
      <c r="A13" s="1" t="s">
        <v>73</v>
      </c>
      <c r="B13" s="2">
        <v>43496.5</v>
      </c>
      <c r="C13" s="4">
        <f>VLOOKUP(D13,Лист1!$A$2:$B$51,2,0)</f>
        <v>26</v>
      </c>
      <c r="D13" s="1" t="s">
        <v>20</v>
      </c>
    </row>
    <row r="14" spans="1:4" x14ac:dyDescent="0.2">
      <c r="A14" s="1" t="s">
        <v>47</v>
      </c>
      <c r="B14" s="2">
        <v>43788.659722222219</v>
      </c>
      <c r="C14" s="4">
        <f>VLOOKUP(D14,Лист1!$A$2:$B$51,2,0)</f>
        <v>6</v>
      </c>
      <c r="D14" s="1" t="s">
        <v>13</v>
      </c>
    </row>
    <row r="15" spans="1:4" x14ac:dyDescent="0.2">
      <c r="A15" s="1" t="s">
        <v>58</v>
      </c>
      <c r="B15" s="2">
        <v>43475.354166666664</v>
      </c>
      <c r="C15" s="4">
        <f>VLOOKUP(D15,Лист1!$A$2:$B$51,2,0)</f>
        <v>33</v>
      </c>
      <c r="D15" s="1" t="s">
        <v>1</v>
      </c>
    </row>
    <row r="16" spans="1:4" x14ac:dyDescent="0.2">
      <c r="A16" s="1" t="s">
        <v>35</v>
      </c>
      <c r="B16" s="2">
        <v>43584.625</v>
      </c>
      <c r="C16" s="4">
        <f>VLOOKUP(D16,Лист1!$A$2:$B$51,2,0)</f>
        <v>35</v>
      </c>
      <c r="D16" s="1" t="s">
        <v>34</v>
      </c>
    </row>
    <row r="17" spans="1:4" x14ac:dyDescent="0.2">
      <c r="A17" s="1" t="s">
        <v>50</v>
      </c>
      <c r="B17" s="2">
        <v>43750.368055555555</v>
      </c>
      <c r="C17" s="4">
        <f>VLOOKUP(D17,Лист1!$A$2:$B$51,2,0)</f>
        <v>43</v>
      </c>
      <c r="D17" s="1" t="s">
        <v>48</v>
      </c>
    </row>
    <row r="18" spans="1:4" x14ac:dyDescent="0.2">
      <c r="A18" s="1" t="s">
        <v>70</v>
      </c>
      <c r="B18" s="2">
        <v>43509.75</v>
      </c>
      <c r="C18" s="4">
        <f>VLOOKUP(D18,Лист1!$A$2:$B$51,2,0)</f>
        <v>48</v>
      </c>
      <c r="D18" s="1" t="s">
        <v>77</v>
      </c>
    </row>
    <row r="19" spans="1:4" x14ac:dyDescent="0.2">
      <c r="A19" s="1" t="s">
        <v>47</v>
      </c>
      <c r="B19" s="2">
        <v>43497.75</v>
      </c>
      <c r="C19" s="4">
        <f>VLOOKUP(D19,Лист1!$A$2:$B$51,2,0)</f>
        <v>33</v>
      </c>
      <c r="D19" s="1" t="s">
        <v>1</v>
      </c>
    </row>
    <row r="20" spans="1:4" x14ac:dyDescent="0.2">
      <c r="A20" s="1" t="s">
        <v>57</v>
      </c>
      <c r="B20" s="2">
        <v>43781.784722222219</v>
      </c>
      <c r="C20" s="4">
        <f>VLOOKUP(D20,Лист1!$A$2:$B$51,2,0)</f>
        <v>30</v>
      </c>
      <c r="D20" s="1" t="s">
        <v>56</v>
      </c>
    </row>
    <row r="21" spans="1:4" x14ac:dyDescent="0.2">
      <c r="A21" s="1" t="s">
        <v>66</v>
      </c>
      <c r="B21" s="2">
        <v>43476.534722222219</v>
      </c>
      <c r="C21" s="4">
        <f>VLOOKUP(D21,Лист1!$A$2:$B$51,2,0)</f>
        <v>17</v>
      </c>
      <c r="D21" s="1" t="s">
        <v>11</v>
      </c>
    </row>
    <row r="22" spans="1:4" x14ac:dyDescent="0.2">
      <c r="A22" s="1" t="s">
        <v>37</v>
      </c>
      <c r="B22" s="2">
        <v>43547.826388888891</v>
      </c>
      <c r="C22" s="4">
        <f>VLOOKUP(D22,Лист1!$A$2:$B$51,2,0)</f>
        <v>9</v>
      </c>
      <c r="D22" s="1" t="s">
        <v>60</v>
      </c>
    </row>
    <row r="23" spans="1:4" x14ac:dyDescent="0.2">
      <c r="A23" s="1" t="s">
        <v>49</v>
      </c>
      <c r="B23" s="2">
        <v>43639.333333333336</v>
      </c>
      <c r="C23" s="4">
        <f>VLOOKUP(D23,Лист1!$A$2:$B$51,2,0)</f>
        <v>43</v>
      </c>
      <c r="D23" s="1" t="s">
        <v>48</v>
      </c>
    </row>
    <row r="24" spans="1:4" ht="25.5" x14ac:dyDescent="0.2">
      <c r="A24" s="1" t="s">
        <v>61</v>
      </c>
      <c r="B24" s="2">
        <v>43610.715277777781</v>
      </c>
      <c r="C24" s="4">
        <f>VLOOKUP(D24,Лист1!$A$2:$B$51,2,0)</f>
        <v>38</v>
      </c>
      <c r="D24" s="1" t="s">
        <v>17</v>
      </c>
    </row>
    <row r="25" spans="1:4" x14ac:dyDescent="0.2">
      <c r="A25" s="1" t="s">
        <v>85</v>
      </c>
      <c r="B25" s="2">
        <v>43514.763888888891</v>
      </c>
      <c r="C25" s="4">
        <f>VLOOKUP(D25,Лист1!$A$2:$B$51,2,0)</f>
        <v>17</v>
      </c>
      <c r="D25" s="1" t="s">
        <v>11</v>
      </c>
    </row>
    <row r="26" spans="1:4" x14ac:dyDescent="0.2">
      <c r="A26" s="1" t="s">
        <v>52</v>
      </c>
      <c r="B26" s="2">
        <v>43663.347222222219</v>
      </c>
      <c r="C26" s="4">
        <f>VLOOKUP(D26,Лист1!$A$2:$B$51,2,0)</f>
        <v>35</v>
      </c>
      <c r="D26" s="1" t="s">
        <v>34</v>
      </c>
    </row>
    <row r="27" spans="1:4" x14ac:dyDescent="0.2">
      <c r="A27" s="1" t="s">
        <v>67</v>
      </c>
      <c r="B27" s="2">
        <v>43683.701388888891</v>
      </c>
      <c r="C27" s="4">
        <f>VLOOKUP(D27,Лист1!$A$2:$B$51,2,0)</f>
        <v>35</v>
      </c>
      <c r="D27" s="1" t="s">
        <v>34</v>
      </c>
    </row>
    <row r="28" spans="1:4" x14ac:dyDescent="0.2">
      <c r="A28" s="1" t="s">
        <v>46</v>
      </c>
      <c r="B28" s="2">
        <v>43813.361111111109</v>
      </c>
      <c r="C28" s="4">
        <f>VLOOKUP(D28,Лист1!$A$2:$B$51,2,0)</f>
        <v>1</v>
      </c>
      <c r="D28" s="1" t="s">
        <v>75</v>
      </c>
    </row>
    <row r="29" spans="1:4" x14ac:dyDescent="0.2">
      <c r="A29" s="1" t="s">
        <v>83</v>
      </c>
      <c r="B29" s="2">
        <v>43644.597222222219</v>
      </c>
      <c r="C29" s="4">
        <f>VLOOKUP(D29,Лист1!$A$2:$B$51,2,0)</f>
        <v>22</v>
      </c>
      <c r="D29" s="1" t="s">
        <v>38</v>
      </c>
    </row>
    <row r="30" spans="1:4" ht="25.5" x14ac:dyDescent="0.2">
      <c r="A30" s="1" t="s">
        <v>82</v>
      </c>
      <c r="B30" s="2">
        <v>43622.805555555555</v>
      </c>
      <c r="C30" s="4">
        <f>VLOOKUP(D30,Лист1!$A$2:$B$51,2,0)</f>
        <v>48</v>
      </c>
      <c r="D30" s="1" t="s">
        <v>77</v>
      </c>
    </row>
    <row r="31" spans="1:4" x14ac:dyDescent="0.2">
      <c r="A31" s="1" t="s">
        <v>37</v>
      </c>
      <c r="B31" s="2">
        <v>43623.722222222219</v>
      </c>
      <c r="C31" s="4">
        <f>VLOOKUP(D31,Лист1!$A$2:$B$51,2,0)</f>
        <v>24</v>
      </c>
      <c r="D31" s="1" t="s">
        <v>36</v>
      </c>
    </row>
    <row r="32" spans="1:4" x14ac:dyDescent="0.2">
      <c r="A32" s="1" t="s">
        <v>68</v>
      </c>
      <c r="B32" s="2">
        <v>43585.756944444445</v>
      </c>
      <c r="C32" s="4">
        <f>VLOOKUP(D32,Лист1!$A$2:$B$51,2,0)</f>
        <v>46</v>
      </c>
      <c r="D32" s="1" t="s">
        <v>31</v>
      </c>
    </row>
    <row r="33" spans="1:4" x14ac:dyDescent="0.2">
      <c r="A33" s="1" t="s">
        <v>66</v>
      </c>
      <c r="B33" s="2">
        <v>43707.486111111109</v>
      </c>
      <c r="C33" s="4">
        <f>VLOOKUP(D33,Лист1!$A$2:$B$51,2,0)</f>
        <v>6</v>
      </c>
      <c r="D33" s="1" t="s">
        <v>13</v>
      </c>
    </row>
    <row r="34" spans="1:4" x14ac:dyDescent="0.2">
      <c r="A34" s="1" t="s">
        <v>71</v>
      </c>
      <c r="B34" s="2">
        <v>43593.590277777781</v>
      </c>
      <c r="C34" s="4">
        <f>VLOOKUP(D34,Лист1!$A$2:$B$51,2,0)</f>
        <v>25</v>
      </c>
      <c r="D34" s="1" t="s">
        <v>24</v>
      </c>
    </row>
    <row r="35" spans="1:4" x14ac:dyDescent="0.2">
      <c r="A35" s="1" t="s">
        <v>74</v>
      </c>
      <c r="B35" s="2">
        <v>43765.680555555555</v>
      </c>
      <c r="C35" s="4">
        <f>VLOOKUP(D35,Лист1!$A$2:$B$51,2,0)</f>
        <v>42</v>
      </c>
      <c r="D35" s="1" t="s">
        <v>4</v>
      </c>
    </row>
    <row r="36" spans="1:4" x14ac:dyDescent="0.2">
      <c r="A36" s="1" t="s">
        <v>52</v>
      </c>
      <c r="B36" s="2">
        <v>43470.361111111109</v>
      </c>
      <c r="C36" s="4">
        <f>VLOOKUP(D36,Лист1!$A$2:$B$51,2,0)</f>
        <v>30</v>
      </c>
      <c r="D36" s="1" t="s">
        <v>56</v>
      </c>
    </row>
    <row r="37" spans="1:4" x14ac:dyDescent="0.2">
      <c r="A37" s="1" t="s">
        <v>39</v>
      </c>
      <c r="B37" s="2">
        <v>43528.722222222219</v>
      </c>
      <c r="C37" s="4">
        <f>VLOOKUP(D37,Лист1!$A$2:$B$51,2,0)</f>
        <v>22</v>
      </c>
      <c r="D37" s="1" t="s">
        <v>38</v>
      </c>
    </row>
    <row r="38" spans="1:4" x14ac:dyDescent="0.2">
      <c r="A38" s="1" t="s">
        <v>41</v>
      </c>
      <c r="B38" s="2">
        <v>43737.569444444445</v>
      </c>
      <c r="C38" s="4">
        <f>VLOOKUP(D38,Лист1!$A$2:$B$51,2,0)</f>
        <v>50</v>
      </c>
      <c r="D38" s="1" t="s">
        <v>59</v>
      </c>
    </row>
    <row r="39" spans="1:4" x14ac:dyDescent="0.2">
      <c r="A39" s="1" t="s">
        <v>84</v>
      </c>
      <c r="B39" s="2">
        <v>43487.451388888891</v>
      </c>
      <c r="C39" s="4">
        <f>VLOOKUP(D39,Лист1!$A$2:$B$51,2,0)</f>
        <v>27</v>
      </c>
      <c r="D39" s="1" t="s">
        <v>2</v>
      </c>
    </row>
    <row r="40" spans="1:4" x14ac:dyDescent="0.2">
      <c r="A40" s="1" t="s">
        <v>47</v>
      </c>
      <c r="B40" s="2">
        <v>43818.8125</v>
      </c>
      <c r="C40" s="4">
        <f>VLOOKUP(D40,Лист1!$A$2:$B$51,2,0)</f>
        <v>30</v>
      </c>
      <c r="D40" s="1" t="s">
        <v>56</v>
      </c>
    </row>
    <row r="41" spans="1:4" x14ac:dyDescent="0.2">
      <c r="A41" s="1" t="s">
        <v>80</v>
      </c>
      <c r="B41" s="2">
        <v>43784.743055555555</v>
      </c>
      <c r="C41" s="4">
        <f>VLOOKUP(D41,Лист1!$A$2:$B$51,2,0)</f>
        <v>32</v>
      </c>
      <c r="D41" s="1" t="s">
        <v>32</v>
      </c>
    </row>
    <row r="42" spans="1:4" x14ac:dyDescent="0.2">
      <c r="A42" s="1" t="s">
        <v>76</v>
      </c>
      <c r="B42" s="2">
        <v>43650.715277777781</v>
      </c>
      <c r="C42" s="4">
        <f>VLOOKUP(D42,Лист1!$A$2:$B$51,2,0)</f>
        <v>12</v>
      </c>
      <c r="D42" s="1" t="s">
        <v>26</v>
      </c>
    </row>
    <row r="43" spans="1:4" x14ac:dyDescent="0.2">
      <c r="A43" s="1" t="s">
        <v>73</v>
      </c>
      <c r="B43" s="2">
        <v>43683.493055555555</v>
      </c>
      <c r="C43" s="4">
        <f>VLOOKUP(D43,Лист1!$A$2:$B$51,2,0)</f>
        <v>21</v>
      </c>
      <c r="D43" s="1" t="s">
        <v>16</v>
      </c>
    </row>
    <row r="44" spans="1:4" x14ac:dyDescent="0.2">
      <c r="A44" s="1" t="s">
        <v>50</v>
      </c>
      <c r="B44" s="2">
        <v>43778.541666666664</v>
      </c>
      <c r="C44" s="4">
        <f>VLOOKUP(D44,Лист1!$A$2:$B$51,2,0)</f>
        <v>35</v>
      </c>
      <c r="D44" s="1" t="s">
        <v>34</v>
      </c>
    </row>
    <row r="45" spans="1:4" x14ac:dyDescent="0.2">
      <c r="A45" s="1" t="s">
        <v>89</v>
      </c>
      <c r="B45" s="2">
        <v>43512.784722222219</v>
      </c>
      <c r="C45" s="4">
        <f>VLOOKUP(D45,Лист1!$A$2:$B$51,2,0)</f>
        <v>24</v>
      </c>
      <c r="D45" s="1" t="s">
        <v>36</v>
      </c>
    </row>
    <row r="46" spans="1:4" x14ac:dyDescent="0.2">
      <c r="A46" s="1" t="s">
        <v>41</v>
      </c>
      <c r="B46" s="2">
        <v>43527.722222222219</v>
      </c>
      <c r="C46" s="4">
        <f>VLOOKUP(D46,Лист1!$A$2:$B$51,2,0)</f>
        <v>23</v>
      </c>
      <c r="D46" s="1" t="s">
        <v>10</v>
      </c>
    </row>
    <row r="47" spans="1:4" x14ac:dyDescent="0.2">
      <c r="A47" s="1" t="s">
        <v>68</v>
      </c>
      <c r="B47" s="2">
        <v>43607.673611111109</v>
      </c>
      <c r="C47" s="4">
        <f>VLOOKUP(D47,Лист1!$A$2:$B$51,2,0)</f>
        <v>13</v>
      </c>
      <c r="D47" s="1" t="s">
        <v>25</v>
      </c>
    </row>
    <row r="48" spans="1:4" x14ac:dyDescent="0.2">
      <c r="A48" s="1" t="s">
        <v>44</v>
      </c>
      <c r="B48" s="2">
        <v>43677.756944444445</v>
      </c>
      <c r="C48" s="4">
        <f>VLOOKUP(D48,Лист1!$A$2:$B$51,2,0)</f>
        <v>36</v>
      </c>
      <c r="D48" s="1" t="s">
        <v>9</v>
      </c>
    </row>
    <row r="49" spans="1:4" x14ac:dyDescent="0.2">
      <c r="A49" s="1" t="s">
        <v>39</v>
      </c>
      <c r="B49" s="2">
        <v>43706.791666666664</v>
      </c>
      <c r="C49" s="4">
        <f>VLOOKUP(D49,Лист1!$A$2:$B$51,2,0)</f>
        <v>16</v>
      </c>
      <c r="D49" s="1" t="s">
        <v>72</v>
      </c>
    </row>
    <row r="50" spans="1:4" x14ac:dyDescent="0.2">
      <c r="A50" s="1" t="s">
        <v>52</v>
      </c>
      <c r="B50" s="2">
        <v>43740.423611111109</v>
      </c>
      <c r="C50" s="4">
        <f>VLOOKUP(D50,Лист1!$A$2:$B$51,2,0)</f>
        <v>21</v>
      </c>
      <c r="D50" s="1" t="s">
        <v>16</v>
      </c>
    </row>
    <row r="51" spans="1:4" x14ac:dyDescent="0.2">
      <c r="A51" s="1" t="s">
        <v>73</v>
      </c>
      <c r="B51" s="2">
        <v>43540.479166666664</v>
      </c>
      <c r="C51" s="4">
        <f>VLOOKUP(D51,Лист1!$A$2:$B$51,2,0)</f>
        <v>8</v>
      </c>
      <c r="D51" s="1" t="s">
        <v>33</v>
      </c>
    </row>
    <row r="52" spans="1:4" x14ac:dyDescent="0.2">
      <c r="A52" s="1" t="s">
        <v>80</v>
      </c>
      <c r="B52" s="2">
        <v>43704.486111111109</v>
      </c>
      <c r="C52" s="4">
        <f>VLOOKUP(D52,Лист1!$A$2:$B$51,2,0)</f>
        <v>43</v>
      </c>
      <c r="D52" s="1" t="s">
        <v>48</v>
      </c>
    </row>
    <row r="53" spans="1:4" x14ac:dyDescent="0.2">
      <c r="A53" s="1" t="s">
        <v>74</v>
      </c>
      <c r="B53" s="2">
        <v>43629.479166666664</v>
      </c>
      <c r="C53" s="4">
        <f>VLOOKUP(D53,Лист1!$A$2:$B$51,2,0)</f>
        <v>18</v>
      </c>
      <c r="D53" s="1" t="s">
        <v>15</v>
      </c>
    </row>
    <row r="54" spans="1:4" x14ac:dyDescent="0.2">
      <c r="A54" s="1" t="s">
        <v>50</v>
      </c>
      <c r="B54" s="2">
        <v>43695.666666666664</v>
      </c>
      <c r="C54" s="4">
        <f>VLOOKUP(D54,Лист1!$A$2:$B$51,2,0)</f>
        <v>4</v>
      </c>
      <c r="D54" s="1" t="s">
        <v>6</v>
      </c>
    </row>
    <row r="55" spans="1:4" x14ac:dyDescent="0.2">
      <c r="A55" s="1" t="s">
        <v>64</v>
      </c>
      <c r="B55" s="2">
        <v>43825.6875</v>
      </c>
      <c r="C55" s="4">
        <f>VLOOKUP(D55,Лист1!$A$2:$B$51,2,0)</f>
        <v>14</v>
      </c>
      <c r="D55" s="1" t="s">
        <v>53</v>
      </c>
    </row>
    <row r="56" spans="1:4" x14ac:dyDescent="0.2">
      <c r="A56" s="1" t="s">
        <v>51</v>
      </c>
      <c r="B56" s="2">
        <v>43796.784722222219</v>
      </c>
      <c r="C56" s="4">
        <f>VLOOKUP(D56,Лист1!$A$2:$B$51,2,0)</f>
        <v>11</v>
      </c>
      <c r="D56" s="1" t="s">
        <v>19</v>
      </c>
    </row>
    <row r="57" spans="1:4" x14ac:dyDescent="0.2">
      <c r="A57" s="1" t="s">
        <v>52</v>
      </c>
      <c r="B57" s="2">
        <v>43714.805555555555</v>
      </c>
      <c r="C57" s="4">
        <f>VLOOKUP(D57,Лист1!$A$2:$B$51,2,0)</f>
        <v>47</v>
      </c>
      <c r="D57" s="1" t="s">
        <v>7</v>
      </c>
    </row>
    <row r="58" spans="1:4" x14ac:dyDescent="0.2">
      <c r="A58" s="1" t="s">
        <v>43</v>
      </c>
      <c r="B58" s="2">
        <v>43732.569444444445</v>
      </c>
      <c r="C58" s="4">
        <f>VLOOKUP(D58,Лист1!$A$2:$B$51,2,0)</f>
        <v>46</v>
      </c>
      <c r="D58" s="1" t="s">
        <v>31</v>
      </c>
    </row>
    <row r="59" spans="1:4" ht="25.5" x14ac:dyDescent="0.2">
      <c r="A59" s="1" t="s">
        <v>78</v>
      </c>
      <c r="B59" s="2">
        <v>43525.493055555555</v>
      </c>
      <c r="C59" s="4">
        <f>VLOOKUP(D59,Лист1!$A$2:$B$51,2,0)</f>
        <v>32</v>
      </c>
      <c r="D59" s="1" t="s">
        <v>32</v>
      </c>
    </row>
    <row r="60" spans="1:4" x14ac:dyDescent="0.2">
      <c r="A60" s="1" t="s">
        <v>51</v>
      </c>
      <c r="B60" s="2">
        <v>43736.416666666664</v>
      </c>
      <c r="C60" s="4">
        <f>VLOOKUP(D60,Лист1!$A$2:$B$51,2,0)</f>
        <v>5</v>
      </c>
      <c r="D60" s="1" t="s">
        <v>27</v>
      </c>
    </row>
    <row r="61" spans="1:4" x14ac:dyDescent="0.2">
      <c r="A61" s="1" t="s">
        <v>67</v>
      </c>
      <c r="B61" s="2">
        <v>43544.444444444445</v>
      </c>
      <c r="C61" s="4">
        <f>VLOOKUP(D61,Лист1!$A$2:$B$51,2,0)</f>
        <v>15</v>
      </c>
      <c r="D61" s="1" t="s">
        <v>5</v>
      </c>
    </row>
    <row r="62" spans="1:4" x14ac:dyDescent="0.2">
      <c r="A62" s="1" t="s">
        <v>50</v>
      </c>
      <c r="B62" s="2">
        <v>43796.479166666664</v>
      </c>
      <c r="C62" s="4">
        <f>VLOOKUP(D62,Лист1!$A$2:$B$51,2,0)</f>
        <v>10</v>
      </c>
      <c r="D62" s="1" t="s">
        <v>28</v>
      </c>
    </row>
    <row r="63" spans="1:4" x14ac:dyDescent="0.2">
      <c r="A63" s="1" t="s">
        <v>63</v>
      </c>
      <c r="B63" s="2">
        <v>43488.770833333336</v>
      </c>
      <c r="C63" s="4">
        <f>VLOOKUP(D63,Лист1!$A$2:$B$51,2,0)</f>
        <v>3</v>
      </c>
      <c r="D63" s="1" t="s">
        <v>62</v>
      </c>
    </row>
    <row r="64" spans="1:4" x14ac:dyDescent="0.2">
      <c r="A64" s="1" t="s">
        <v>39</v>
      </c>
      <c r="B64" s="2">
        <v>43759.430555555555</v>
      </c>
      <c r="C64" s="4">
        <f>VLOOKUP(D64,Лист1!$A$2:$B$51,2,0)</f>
        <v>27</v>
      </c>
      <c r="D64" s="1" t="s">
        <v>2</v>
      </c>
    </row>
    <row r="65" spans="1:4" x14ac:dyDescent="0.2">
      <c r="A65" s="1" t="s">
        <v>67</v>
      </c>
      <c r="B65" s="2">
        <v>43688.534722222219</v>
      </c>
      <c r="C65" s="4">
        <f>VLOOKUP(D65,Лист1!$A$2:$B$51,2,0)</f>
        <v>28</v>
      </c>
      <c r="D65" s="1" t="s">
        <v>42</v>
      </c>
    </row>
    <row r="66" spans="1:4" x14ac:dyDescent="0.2">
      <c r="A66" s="1" t="s">
        <v>52</v>
      </c>
      <c r="B66" s="2">
        <v>43468.611111111109</v>
      </c>
      <c r="C66" s="4">
        <f>VLOOKUP(D66,Лист1!$A$2:$B$51,2,0)</f>
        <v>7</v>
      </c>
      <c r="D66" s="1" t="s">
        <v>3</v>
      </c>
    </row>
    <row r="67" spans="1:4" x14ac:dyDescent="0.2">
      <c r="A67" s="1" t="s">
        <v>47</v>
      </c>
      <c r="B67" s="2">
        <v>43830.354166666664</v>
      </c>
      <c r="C67" s="4">
        <f>VLOOKUP(D67,Лист1!$A$2:$B$51,2,0)</f>
        <v>33</v>
      </c>
      <c r="D67" s="1" t="s">
        <v>1</v>
      </c>
    </row>
    <row r="68" spans="1:4" x14ac:dyDescent="0.2">
      <c r="A68" s="1" t="s">
        <v>71</v>
      </c>
      <c r="B68" s="2">
        <v>43706.423611111109</v>
      </c>
      <c r="C68" s="4">
        <f>VLOOKUP(D68,Лист1!$A$2:$B$51,2,0)</f>
        <v>41</v>
      </c>
      <c r="D68" s="1" t="s">
        <v>45</v>
      </c>
    </row>
    <row r="69" spans="1:4" x14ac:dyDescent="0.2">
      <c r="A69" s="1" t="s">
        <v>40</v>
      </c>
      <c r="B69" s="2">
        <v>43468.784722222219</v>
      </c>
      <c r="C69" s="4">
        <f>VLOOKUP(D69,Лист1!$A$2:$B$51,2,0)</f>
        <v>13</v>
      </c>
      <c r="D69" s="1" t="s">
        <v>25</v>
      </c>
    </row>
    <row r="70" spans="1:4" x14ac:dyDescent="0.2">
      <c r="A70" s="1" t="s">
        <v>69</v>
      </c>
      <c r="B70" s="2">
        <v>43564.465277777781</v>
      </c>
      <c r="C70" s="4">
        <f>VLOOKUP(D70,Лист1!$A$2:$B$51,2,0)</f>
        <v>14</v>
      </c>
      <c r="D70" s="1" t="s">
        <v>53</v>
      </c>
    </row>
    <row r="71" spans="1:4" x14ac:dyDescent="0.2">
      <c r="A71" s="1" t="s">
        <v>49</v>
      </c>
      <c r="B71" s="2">
        <v>43830.798611111109</v>
      </c>
      <c r="C71" s="4">
        <f>VLOOKUP(D71,Лист1!$A$2:$B$51,2,0)</f>
        <v>27</v>
      </c>
      <c r="D71" s="1" t="s">
        <v>2</v>
      </c>
    </row>
    <row r="72" spans="1:4" x14ac:dyDescent="0.2">
      <c r="A72" s="1" t="s">
        <v>40</v>
      </c>
      <c r="B72" s="2">
        <v>43755.5625</v>
      </c>
      <c r="C72" s="4">
        <f>VLOOKUP(D72,Лист1!$A$2:$B$51,2,0)</f>
        <v>2</v>
      </c>
      <c r="D72" s="1" t="s">
        <v>18</v>
      </c>
    </row>
    <row r="73" spans="1:4" x14ac:dyDescent="0.2">
      <c r="A73" s="1" t="s">
        <v>41</v>
      </c>
      <c r="B73" s="2">
        <v>43602.5625</v>
      </c>
      <c r="C73" s="4">
        <f>VLOOKUP(D73,Лист1!$A$2:$B$51,2,0)</f>
        <v>46</v>
      </c>
      <c r="D73" s="1" t="s">
        <v>31</v>
      </c>
    </row>
    <row r="74" spans="1:4" x14ac:dyDescent="0.2">
      <c r="A74" s="1" t="s">
        <v>55</v>
      </c>
      <c r="B74" s="2">
        <v>43792.777777777781</v>
      </c>
      <c r="C74" s="4">
        <f>VLOOKUP(D74,Лист1!$A$2:$B$51,2,0)</f>
        <v>11</v>
      </c>
      <c r="D74" s="1" t="s">
        <v>19</v>
      </c>
    </row>
    <row r="75" spans="1:4" x14ac:dyDescent="0.2">
      <c r="A75" s="1" t="s">
        <v>66</v>
      </c>
      <c r="B75" s="2">
        <v>43656.645833333336</v>
      </c>
      <c r="C75" s="4">
        <f>VLOOKUP(D75,Лист1!$A$2:$B$51,2,0)</f>
        <v>10</v>
      </c>
      <c r="D75" s="1" t="s">
        <v>28</v>
      </c>
    </row>
    <row r="76" spans="1:4" x14ac:dyDescent="0.2">
      <c r="A76" s="1" t="s">
        <v>88</v>
      </c>
      <c r="B76" s="2">
        <v>43625.569444444445</v>
      </c>
      <c r="C76" s="4">
        <f>VLOOKUP(D76,Лист1!$A$2:$B$51,2,0)</f>
        <v>37</v>
      </c>
      <c r="D76" s="1" t="s">
        <v>29</v>
      </c>
    </row>
    <row r="77" spans="1:4" x14ac:dyDescent="0.2">
      <c r="A77" s="1" t="s">
        <v>41</v>
      </c>
      <c r="B77" s="2">
        <v>43474.430555555555</v>
      </c>
      <c r="C77" s="4">
        <f>VLOOKUP(D77,Лист1!$A$2:$B$51,2,0)</f>
        <v>23</v>
      </c>
      <c r="D77" s="1" t="s">
        <v>10</v>
      </c>
    </row>
    <row r="78" spans="1:4" x14ac:dyDescent="0.2">
      <c r="A78" s="1" t="s">
        <v>63</v>
      </c>
      <c r="B78" s="2">
        <v>43692.770833333336</v>
      </c>
      <c r="C78" s="4">
        <f>VLOOKUP(D78,Лист1!$A$2:$B$51,2,0)</f>
        <v>2</v>
      </c>
      <c r="D78" s="1" t="s">
        <v>18</v>
      </c>
    </row>
    <row r="79" spans="1:4" x14ac:dyDescent="0.2">
      <c r="A79" s="1" t="s">
        <v>66</v>
      </c>
      <c r="B79" s="2">
        <v>43661.590277777781</v>
      </c>
      <c r="C79" s="4">
        <f>VLOOKUP(D79,Лист1!$A$2:$B$51,2,0)</f>
        <v>29</v>
      </c>
      <c r="D79" s="1" t="s">
        <v>65</v>
      </c>
    </row>
    <row r="80" spans="1:4" x14ac:dyDescent="0.2">
      <c r="A80" s="1" t="s">
        <v>55</v>
      </c>
      <c r="B80" s="2">
        <v>43830.75</v>
      </c>
      <c r="C80" s="4">
        <f>VLOOKUP(D80,Лист1!$A$2:$B$51,2,0)</f>
        <v>21</v>
      </c>
      <c r="D80" s="1" t="s">
        <v>16</v>
      </c>
    </row>
    <row r="81" spans="1:4" x14ac:dyDescent="0.2">
      <c r="A81" s="1" t="s">
        <v>51</v>
      </c>
      <c r="B81" s="2">
        <v>43821.388888888891</v>
      </c>
      <c r="C81" s="4">
        <f>VLOOKUP(D81,Лист1!$A$2:$B$51,2,0)</f>
        <v>32</v>
      </c>
      <c r="D81" s="1" t="s">
        <v>32</v>
      </c>
    </row>
    <row r="82" spans="1:4" x14ac:dyDescent="0.2">
      <c r="A82" s="1" t="s">
        <v>54</v>
      </c>
      <c r="B82" s="2">
        <v>43827.666666666664</v>
      </c>
      <c r="C82" s="4">
        <f>VLOOKUP(D82,Лист1!$A$2:$B$51,2,0)</f>
        <v>14</v>
      </c>
      <c r="D82" s="1" t="s">
        <v>53</v>
      </c>
    </row>
    <row r="83" spans="1:4" x14ac:dyDescent="0.2">
      <c r="A83" s="1" t="s">
        <v>41</v>
      </c>
      <c r="B83" s="2">
        <v>43642.423611111109</v>
      </c>
      <c r="C83" s="4">
        <f>VLOOKUP(D83,Лист1!$A$2:$B$51,2,0)</f>
        <v>33</v>
      </c>
      <c r="D83" s="1" t="s">
        <v>1</v>
      </c>
    </row>
    <row r="84" spans="1:4" x14ac:dyDescent="0.2">
      <c r="A84" s="1" t="s">
        <v>44</v>
      </c>
      <c r="B84" s="2">
        <v>43584.527777777781</v>
      </c>
      <c r="C84" s="4">
        <f>VLOOKUP(D84,Лист1!$A$2:$B$51,2,0)</f>
        <v>10</v>
      </c>
      <c r="D84" s="1" t="s">
        <v>28</v>
      </c>
    </row>
    <row r="85" spans="1:4" x14ac:dyDescent="0.2">
      <c r="A85" s="1" t="s">
        <v>44</v>
      </c>
      <c r="B85" s="2">
        <v>43568.375</v>
      </c>
      <c r="C85" s="4">
        <f>VLOOKUP(D85,Лист1!$A$2:$B$51,2,0)</f>
        <v>48</v>
      </c>
      <c r="D85" s="1" t="s">
        <v>77</v>
      </c>
    </row>
    <row r="86" spans="1:4" x14ac:dyDescent="0.2">
      <c r="A86" s="1" t="s">
        <v>70</v>
      </c>
      <c r="B86" s="2">
        <v>43470.666666666664</v>
      </c>
      <c r="C86" s="4">
        <f>VLOOKUP(D86,Лист1!$A$2:$B$51,2,0)</f>
        <v>23</v>
      </c>
      <c r="D86" s="1" t="s">
        <v>10</v>
      </c>
    </row>
    <row r="87" spans="1:4" x14ac:dyDescent="0.2">
      <c r="A87" s="1" t="s">
        <v>88</v>
      </c>
      <c r="B87" s="2">
        <v>43549.763888888891</v>
      </c>
      <c r="C87" s="4">
        <f>VLOOKUP(D87,Лист1!$A$2:$B$51,2,0)</f>
        <v>5</v>
      </c>
      <c r="D87" s="1" t="s">
        <v>27</v>
      </c>
    </row>
    <row r="88" spans="1:4" ht="25.5" x14ac:dyDescent="0.2">
      <c r="A88" s="1" t="s">
        <v>61</v>
      </c>
      <c r="B88" s="2">
        <v>43778.784722222219</v>
      </c>
      <c r="C88" s="4">
        <f>VLOOKUP(D88,Лист1!$A$2:$B$51,2,0)</f>
        <v>29</v>
      </c>
      <c r="D88" s="1" t="s">
        <v>65</v>
      </c>
    </row>
    <row r="89" spans="1:4" x14ac:dyDescent="0.2">
      <c r="A89" s="1" t="s">
        <v>73</v>
      </c>
      <c r="B89" s="2">
        <v>43562.444444444445</v>
      </c>
      <c r="C89" s="4">
        <f>VLOOKUP(D89,Лист1!$A$2:$B$51,2,0)</f>
        <v>31</v>
      </c>
      <c r="D89" s="1" t="s">
        <v>0</v>
      </c>
    </row>
    <row r="90" spans="1:4" x14ac:dyDescent="0.2">
      <c r="A90" s="1" t="s">
        <v>85</v>
      </c>
      <c r="B90" s="2">
        <v>43780.784722222219</v>
      </c>
      <c r="C90" s="4">
        <f>VLOOKUP(D90,Лист1!$A$2:$B$51,2,0)</f>
        <v>49</v>
      </c>
      <c r="D90" s="1" t="s">
        <v>8</v>
      </c>
    </row>
    <row r="91" spans="1:4" x14ac:dyDescent="0.2">
      <c r="A91" s="1" t="s">
        <v>52</v>
      </c>
      <c r="B91" s="2">
        <v>43471.625</v>
      </c>
      <c r="C91" s="4">
        <f>VLOOKUP(D91,Лист1!$A$2:$B$51,2,0)</f>
        <v>34</v>
      </c>
      <c r="D91" s="1" t="s">
        <v>30</v>
      </c>
    </row>
    <row r="92" spans="1:4" x14ac:dyDescent="0.2">
      <c r="A92" s="1" t="s">
        <v>70</v>
      </c>
      <c r="B92" s="2">
        <v>43697.798611111109</v>
      </c>
      <c r="C92" s="4">
        <f>VLOOKUP(D92,Лист1!$A$2:$B$51,2,0)</f>
        <v>4</v>
      </c>
      <c r="D92" s="1" t="s">
        <v>6</v>
      </c>
    </row>
    <row r="93" spans="1:4" x14ac:dyDescent="0.2">
      <c r="A93" s="1" t="s">
        <v>70</v>
      </c>
      <c r="B93" s="2">
        <v>43571.555555555555</v>
      </c>
      <c r="C93" s="4">
        <f>VLOOKUP(D93,Лист1!$A$2:$B$51,2,0)</f>
        <v>45</v>
      </c>
      <c r="D93" s="1" t="s">
        <v>14</v>
      </c>
    </row>
    <row r="94" spans="1:4" x14ac:dyDescent="0.2">
      <c r="A94" s="1" t="s">
        <v>35</v>
      </c>
      <c r="B94" s="2">
        <v>43821.631944444445</v>
      </c>
      <c r="C94" s="4">
        <f>VLOOKUP(D94,Лист1!$A$2:$B$51,2,0)</f>
        <v>27</v>
      </c>
      <c r="D94" s="1" t="s">
        <v>2</v>
      </c>
    </row>
    <row r="95" spans="1:4" x14ac:dyDescent="0.2">
      <c r="A95" s="1" t="s">
        <v>66</v>
      </c>
      <c r="B95" s="2">
        <v>43487.701388888891</v>
      </c>
      <c r="C95" s="4">
        <f>VLOOKUP(D95,Лист1!$A$2:$B$51,2,0)</f>
        <v>40</v>
      </c>
      <c r="D95" s="1" t="s">
        <v>12</v>
      </c>
    </row>
    <row r="96" spans="1:4" ht="25.5" x14ac:dyDescent="0.2">
      <c r="A96" s="1" t="s">
        <v>61</v>
      </c>
      <c r="B96" s="2">
        <v>43712.340277777781</v>
      </c>
      <c r="C96" s="4">
        <f>VLOOKUP(D96,Лист1!$A$2:$B$51,2,0)</f>
        <v>8</v>
      </c>
      <c r="D96" s="1" t="s">
        <v>33</v>
      </c>
    </row>
    <row r="97" spans="1:4" x14ac:dyDescent="0.2">
      <c r="A97" s="1" t="s">
        <v>46</v>
      </c>
      <c r="B97" s="2">
        <v>43466.618055555555</v>
      </c>
      <c r="C97" s="4">
        <f>VLOOKUP(D97,Лист1!$A$2:$B$51,2,0)</f>
        <v>41</v>
      </c>
      <c r="D97" s="1" t="s">
        <v>45</v>
      </c>
    </row>
    <row r="98" spans="1:4" x14ac:dyDescent="0.2">
      <c r="A98" s="1" t="s">
        <v>55</v>
      </c>
      <c r="B98" s="2">
        <v>43494.6875</v>
      </c>
      <c r="C98" s="4">
        <f>VLOOKUP(D98,Лист1!$A$2:$B$51,2,0)</f>
        <v>35</v>
      </c>
      <c r="D98" s="1" t="s">
        <v>34</v>
      </c>
    </row>
    <row r="99" spans="1:4" x14ac:dyDescent="0.2">
      <c r="A99" s="1" t="s">
        <v>87</v>
      </c>
      <c r="B99" s="2">
        <v>43652.479166666664</v>
      </c>
      <c r="C99" s="4">
        <f>VLOOKUP(D99,Лист1!$A$2:$B$51,2,0)</f>
        <v>40</v>
      </c>
      <c r="D99" s="1" t="s">
        <v>12</v>
      </c>
    </row>
    <row r="100" spans="1:4" x14ac:dyDescent="0.2">
      <c r="A100" s="1" t="s">
        <v>43</v>
      </c>
      <c r="B100" s="2">
        <v>43804.430555555555</v>
      </c>
      <c r="C100" s="4">
        <f>VLOOKUP(D100,Лист1!$A$2:$B$51,2,0)</f>
        <v>28</v>
      </c>
      <c r="D100" s="1" t="s">
        <v>42</v>
      </c>
    </row>
    <row r="101" spans="1:4" x14ac:dyDescent="0.2">
      <c r="A101" s="1" t="s">
        <v>70</v>
      </c>
      <c r="B101" s="2">
        <v>43560.555555555555</v>
      </c>
      <c r="C101" s="4">
        <f>VLOOKUP(D101,Лист1!$A$2:$B$51,2,0)</f>
        <v>20</v>
      </c>
      <c r="D101" s="1" t="s">
        <v>86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1"/>
  <sheetViews>
    <sheetView workbookViewId="0">
      <selection activeCell="D13" sqref="D13"/>
    </sheetView>
  </sheetViews>
  <sheetFormatPr defaultRowHeight="12.75" x14ac:dyDescent="0.2"/>
  <sheetData>
    <row r="1" spans="1:2" x14ac:dyDescent="0.2">
      <c r="A1" t="s">
        <v>90</v>
      </c>
      <c r="B1" t="s">
        <v>94</v>
      </c>
    </row>
    <row r="2" spans="1:2" x14ac:dyDescent="0.2">
      <c r="A2" t="s">
        <v>75</v>
      </c>
      <c r="B2">
        <v>1</v>
      </c>
    </row>
    <row r="3" spans="1:2" x14ac:dyDescent="0.2">
      <c r="A3" t="s">
        <v>18</v>
      </c>
      <c r="B3">
        <v>2</v>
      </c>
    </row>
    <row r="4" spans="1:2" x14ac:dyDescent="0.2">
      <c r="A4" t="s">
        <v>62</v>
      </c>
      <c r="B4">
        <v>3</v>
      </c>
    </row>
    <row r="5" spans="1:2" x14ac:dyDescent="0.2">
      <c r="A5" t="s">
        <v>6</v>
      </c>
      <c r="B5">
        <v>4</v>
      </c>
    </row>
    <row r="6" spans="1:2" x14ac:dyDescent="0.2">
      <c r="A6" t="s">
        <v>27</v>
      </c>
      <c r="B6">
        <v>5</v>
      </c>
    </row>
    <row r="7" spans="1:2" x14ac:dyDescent="0.2">
      <c r="A7" t="s">
        <v>13</v>
      </c>
      <c r="B7">
        <v>6</v>
      </c>
    </row>
    <row r="8" spans="1:2" x14ac:dyDescent="0.2">
      <c r="A8" t="s">
        <v>3</v>
      </c>
      <c r="B8">
        <v>7</v>
      </c>
    </row>
    <row r="9" spans="1:2" x14ac:dyDescent="0.2">
      <c r="A9" t="s">
        <v>33</v>
      </c>
      <c r="B9">
        <v>8</v>
      </c>
    </row>
    <row r="10" spans="1:2" x14ac:dyDescent="0.2">
      <c r="A10" t="s">
        <v>60</v>
      </c>
      <c r="B10">
        <v>9</v>
      </c>
    </row>
    <row r="11" spans="1:2" x14ac:dyDescent="0.2">
      <c r="A11" t="s">
        <v>28</v>
      </c>
      <c r="B11">
        <v>10</v>
      </c>
    </row>
    <row r="12" spans="1:2" x14ac:dyDescent="0.2">
      <c r="A12" t="s">
        <v>19</v>
      </c>
      <c r="B12">
        <v>11</v>
      </c>
    </row>
    <row r="13" spans="1:2" x14ac:dyDescent="0.2">
      <c r="A13" t="s">
        <v>26</v>
      </c>
      <c r="B13">
        <v>12</v>
      </c>
    </row>
    <row r="14" spans="1:2" x14ac:dyDescent="0.2">
      <c r="A14" t="s">
        <v>25</v>
      </c>
      <c r="B14">
        <v>13</v>
      </c>
    </row>
    <row r="15" spans="1:2" x14ac:dyDescent="0.2">
      <c r="A15" t="s">
        <v>53</v>
      </c>
      <c r="B15">
        <v>14</v>
      </c>
    </row>
    <row r="16" spans="1:2" x14ac:dyDescent="0.2">
      <c r="A16" t="s">
        <v>5</v>
      </c>
      <c r="B16">
        <v>15</v>
      </c>
    </row>
    <row r="17" spans="1:2" x14ac:dyDescent="0.2">
      <c r="A17" t="s">
        <v>72</v>
      </c>
      <c r="B17">
        <v>16</v>
      </c>
    </row>
    <row r="18" spans="1:2" x14ac:dyDescent="0.2">
      <c r="A18" t="s">
        <v>11</v>
      </c>
      <c r="B18">
        <v>17</v>
      </c>
    </row>
    <row r="19" spans="1:2" x14ac:dyDescent="0.2">
      <c r="A19" t="s">
        <v>15</v>
      </c>
      <c r="B19">
        <v>18</v>
      </c>
    </row>
    <row r="20" spans="1:2" x14ac:dyDescent="0.2">
      <c r="A20" t="s">
        <v>91</v>
      </c>
      <c r="B20">
        <v>19</v>
      </c>
    </row>
    <row r="21" spans="1:2" x14ac:dyDescent="0.2">
      <c r="A21" t="s">
        <v>86</v>
      </c>
      <c r="B21">
        <v>20</v>
      </c>
    </row>
    <row r="22" spans="1:2" x14ac:dyDescent="0.2">
      <c r="A22" t="s">
        <v>16</v>
      </c>
      <c r="B22">
        <v>21</v>
      </c>
    </row>
    <row r="23" spans="1:2" x14ac:dyDescent="0.2">
      <c r="A23" t="s">
        <v>38</v>
      </c>
      <c r="B23">
        <v>22</v>
      </c>
    </row>
    <row r="24" spans="1:2" x14ac:dyDescent="0.2">
      <c r="A24" t="s">
        <v>10</v>
      </c>
      <c r="B24">
        <v>23</v>
      </c>
    </row>
    <row r="25" spans="1:2" x14ac:dyDescent="0.2">
      <c r="A25" t="s">
        <v>36</v>
      </c>
      <c r="B25">
        <v>24</v>
      </c>
    </row>
    <row r="26" spans="1:2" x14ac:dyDescent="0.2">
      <c r="A26" t="s">
        <v>24</v>
      </c>
      <c r="B26">
        <v>25</v>
      </c>
    </row>
    <row r="27" spans="1:2" x14ac:dyDescent="0.2">
      <c r="A27" t="s">
        <v>20</v>
      </c>
      <c r="B27">
        <v>26</v>
      </c>
    </row>
    <row r="28" spans="1:2" x14ac:dyDescent="0.2">
      <c r="A28" t="s">
        <v>2</v>
      </c>
      <c r="B28">
        <v>27</v>
      </c>
    </row>
    <row r="29" spans="1:2" x14ac:dyDescent="0.2">
      <c r="A29" t="s">
        <v>42</v>
      </c>
      <c r="B29">
        <v>28</v>
      </c>
    </row>
    <row r="30" spans="1:2" x14ac:dyDescent="0.2">
      <c r="A30" t="s">
        <v>65</v>
      </c>
      <c r="B30">
        <v>29</v>
      </c>
    </row>
    <row r="31" spans="1:2" x14ac:dyDescent="0.2">
      <c r="A31" t="s">
        <v>56</v>
      </c>
      <c r="B31">
        <v>30</v>
      </c>
    </row>
    <row r="32" spans="1:2" x14ac:dyDescent="0.2">
      <c r="A32" t="s">
        <v>0</v>
      </c>
      <c r="B32">
        <v>31</v>
      </c>
    </row>
    <row r="33" spans="1:2" x14ac:dyDescent="0.2">
      <c r="A33" t="s">
        <v>32</v>
      </c>
      <c r="B33">
        <v>32</v>
      </c>
    </row>
    <row r="34" spans="1:2" x14ac:dyDescent="0.2">
      <c r="A34" t="s">
        <v>1</v>
      </c>
      <c r="B34">
        <v>33</v>
      </c>
    </row>
    <row r="35" spans="1:2" x14ac:dyDescent="0.2">
      <c r="A35" t="s">
        <v>30</v>
      </c>
      <c r="B35">
        <v>34</v>
      </c>
    </row>
    <row r="36" spans="1:2" x14ac:dyDescent="0.2">
      <c r="A36" t="s">
        <v>34</v>
      </c>
      <c r="B36">
        <v>35</v>
      </c>
    </row>
    <row r="37" spans="1:2" x14ac:dyDescent="0.2">
      <c r="A37" t="s">
        <v>9</v>
      </c>
      <c r="B37">
        <v>36</v>
      </c>
    </row>
    <row r="38" spans="1:2" x14ac:dyDescent="0.2">
      <c r="A38" t="s">
        <v>29</v>
      </c>
      <c r="B38">
        <v>37</v>
      </c>
    </row>
    <row r="39" spans="1:2" x14ac:dyDescent="0.2">
      <c r="A39" t="s">
        <v>17</v>
      </c>
      <c r="B39">
        <v>38</v>
      </c>
    </row>
    <row r="40" spans="1:2" x14ac:dyDescent="0.2">
      <c r="A40" t="s">
        <v>92</v>
      </c>
      <c r="B40">
        <v>39</v>
      </c>
    </row>
    <row r="41" spans="1:2" x14ac:dyDescent="0.2">
      <c r="A41" t="s">
        <v>12</v>
      </c>
      <c r="B41">
        <v>40</v>
      </c>
    </row>
    <row r="42" spans="1:2" x14ac:dyDescent="0.2">
      <c r="A42" t="s">
        <v>45</v>
      </c>
      <c r="B42">
        <v>41</v>
      </c>
    </row>
    <row r="43" spans="1:2" x14ac:dyDescent="0.2">
      <c r="A43" t="s">
        <v>4</v>
      </c>
      <c r="B43">
        <v>42</v>
      </c>
    </row>
    <row r="44" spans="1:2" x14ac:dyDescent="0.2">
      <c r="A44" t="s">
        <v>48</v>
      </c>
      <c r="B44">
        <v>43</v>
      </c>
    </row>
    <row r="45" spans="1:2" x14ac:dyDescent="0.2">
      <c r="A45" t="s">
        <v>93</v>
      </c>
      <c r="B45">
        <v>44</v>
      </c>
    </row>
    <row r="46" spans="1:2" x14ac:dyDescent="0.2">
      <c r="A46" t="s">
        <v>14</v>
      </c>
      <c r="B46">
        <v>45</v>
      </c>
    </row>
    <row r="47" spans="1:2" x14ac:dyDescent="0.2">
      <c r="A47" t="s">
        <v>31</v>
      </c>
      <c r="B47">
        <v>46</v>
      </c>
    </row>
    <row r="48" spans="1:2" x14ac:dyDescent="0.2">
      <c r="A48" t="s">
        <v>7</v>
      </c>
      <c r="B48">
        <v>47</v>
      </c>
    </row>
    <row r="49" spans="1:2" x14ac:dyDescent="0.2">
      <c r="A49" t="s">
        <v>77</v>
      </c>
      <c r="B49">
        <v>48</v>
      </c>
    </row>
    <row r="50" spans="1:2" x14ac:dyDescent="0.2">
      <c r="A50" t="s">
        <v>8</v>
      </c>
      <c r="B50">
        <v>49</v>
      </c>
    </row>
    <row r="51" spans="1:2" x14ac:dyDescent="0.2">
      <c r="A51" t="s">
        <v>59</v>
      </c>
      <c r="B5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Sheet1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09</dc:creator>
  <cp:lastModifiedBy>Domovski</cp:lastModifiedBy>
  <dcterms:created xsi:type="dcterms:W3CDTF">2020-01-13T20:06:36Z</dcterms:created>
  <dcterms:modified xsi:type="dcterms:W3CDTF">2021-02-07T15:05:36Z</dcterms:modified>
</cp:coreProperties>
</file>